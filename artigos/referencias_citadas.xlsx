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ferências citadas" sheetId="1" state="visible" r:id="rId3"/>
  </sheets>
  <definedNames>
    <definedName function="false" hidden="true" localSheetId="0" name="_xlnm._FilterDatabase" vbProcedure="false">'Referências citadas'!$A$1:$P$18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<sst xmlns="http://schemas.openxmlformats.org/spreadsheetml/2006/main" count="237" uniqueCount="208">
  <si>
    <t xml:space="preserve">Chave</t>
  </si>
  <si>
    <t xml:space="preserve">Autores</t>
  </si>
  <si>
    <t xml:space="preserve">Ano</t>
  </si>
  <si>
    <t xml:space="preserve">Título</t>
  </si>
  <si>
    <t xml:space="preserve">Subtítulo</t>
  </si>
  <si>
    <t xml:space="preserve">Tipo</t>
  </si>
  <si>
    <t xml:space="preserve">Veículo</t>
  </si>
  <si>
    <t xml:space="preserve">Detalhes</t>
  </si>
  <si>
    <t xml:space="preserve">DOI</t>
  </si>
  <si>
    <t xml:space="preserve">Link</t>
  </si>
  <si>
    <t xml:space="preserve">Citações</t>
  </si>
  <si>
    <t xml:space="preserve">Onde aparece</t>
  </si>
  <si>
    <t xml:space="preserve">Papel na dissertação</t>
  </si>
  <si>
    <t xml:space="preserve">PDF na pasta</t>
  </si>
  <si>
    <t xml:space="preserve">Versão do arquivo</t>
  </si>
  <si>
    <t xml:space="preserve">Acesso</t>
  </si>
  <si>
    <t xml:space="preserve">acemoglu2019</t>
  </si>
  <si>
    <t xml:space="preserve">Acemoglu, Daron; Restrepo, Pascual</t>
  </si>
  <si>
    <t xml:space="preserve">Automation and new tasks</t>
  </si>
  <si>
    <t xml:space="preserve">how technology displaces and reinstates labor</t>
  </si>
  <si>
    <t xml:space="preserve">Artigo em periódico</t>
  </si>
  <si>
    <t xml:space="preserve">Journal of Economic Perspectives</t>
  </si>
  <si>
    <t xml:space="preserve">v. 33, n. 2, p. 3-30</t>
  </si>
  <si>
    <t xml:space="preserve">10.1257/jep.33.2.3</t>
  </si>
  <si>
    <t xml:space="preserve">https://doi.org/10.1257/jep.33.2.3</t>
  </si>
  <si>
    <t xml:space="preserve">Cap. 2 Referencial</t>
  </si>
  <si>
    <t xml:space="preserve">Quadro de tarefas: efeitos de deslocamento e de recomposição.</t>
  </si>
  <si>
    <t xml:space="preserve">acemoglu2019.pdf</t>
  </si>
  <si>
    <t xml:space="preserve">NBER WP 25684; publicado no JEP</t>
  </si>
  <si>
    <t xml:space="preserve">Aberto (JEP)</t>
  </si>
  <si>
    <t xml:space="preserve">acemoglu2020</t>
  </si>
  <si>
    <t xml:space="preserve">Robots and jobs</t>
  </si>
  <si>
    <t xml:space="preserve">evidence from US labor markets</t>
  </si>
  <si>
    <t xml:space="preserve">Journal of Political Economy</t>
  </si>
  <si>
    <t xml:space="preserve">v. 128, n. 6, p. 2188-2244</t>
  </si>
  <si>
    <t xml:space="preserve">10.1086/705716</t>
  </si>
  <si>
    <t xml:space="preserve">https://doi.org/10.1086/705716</t>
  </si>
  <si>
    <t xml:space="preserve">Cap. 2 Referencial; Cap. 5 Agenda</t>
  </si>
  <si>
    <t xml:space="preserve">Robôs e exposição diferencial; origem da estratégia de identificação.</t>
  </si>
  <si>
    <t xml:space="preserve">acemoglu2020.pdf</t>
  </si>
  <si>
    <t xml:space="preserve">NBER WP 23285; publicado no JPE</t>
  </si>
  <si>
    <t xml:space="preserve">Restrito (periódico)</t>
  </si>
  <si>
    <t xml:space="preserve">ibge2022tratamento</t>
  </si>
  <si>
    <t xml:space="preserve">Baptista, Fernanda Karine Ruiz Colenghi; Hypólito, Elizabeth Belo; Conde, Felipe Quintas</t>
  </si>
  <si>
    <t xml:space="preserve">O tratamento das informações da PNAD Contínua</t>
  </si>
  <si>
    <t xml:space="preserve">Relatório / working paper</t>
  </si>
  <si>
    <t xml:space="preserve">IBGE</t>
  </si>
  <si>
    <t xml:space="preserve">n. 61</t>
  </si>
  <si>
    <t xml:space="preserve">https://biblioteca.ibge.gov.br/visualizacao/livros/liv101953.pdf</t>
  </si>
  <si>
    <t xml:space="preserve">Cap. 3 Método; Cap. 4 Resultados</t>
  </si>
  <si>
    <t xml:space="preserve">Mudança no modo de coleta em 2020 e 2021; base da ressalva de medida.</t>
  </si>
  <si>
    <t xml:space="preserve">ibge2022tratamento.pdf</t>
  </si>
  <si>
    <t xml:space="preserve">Versão publicada (IBGE)</t>
  </si>
  <si>
    <t xml:space="preserve">Aberto (biblioteca do IBGE)</t>
  </si>
  <si>
    <t xml:space="preserve">brynjolfsson2025</t>
  </si>
  <si>
    <t xml:space="preserve">Brynjolfsson, Erik; Li, Danielle; Raymond, Lindsey</t>
  </si>
  <si>
    <t xml:space="preserve">Generative AI at work</t>
  </si>
  <si>
    <t xml:space="preserve">The Quarterly Journal of Economics</t>
  </si>
  <si>
    <t xml:space="preserve">v. 140, n. 2, p. 889-942</t>
  </si>
  <si>
    <t xml:space="preserve">10.1093/qje/qjae044</t>
  </si>
  <si>
    <t xml:space="preserve">https://doi.org/10.1093/qje/qjae044</t>
  </si>
  <si>
    <t xml:space="preserve">Adoção observada em uma firma; contraste de desenho e de magnitude.</t>
  </si>
  <si>
    <t xml:space="preserve">brynjolfsson2025.pdf</t>
  </si>
  <si>
    <t xml:space="preserve">NBER WP 31161; publicado no QJE</t>
  </si>
  <si>
    <t xml:space="preserve">Restrito no QJE; há versão aberta em working paper</t>
  </si>
  <si>
    <t xml:space="preserve">callaway2024</t>
  </si>
  <si>
    <t xml:space="preserve">Callaway, Brantly; Goodman-Bacon, Andrew; Sant'Anna, Pedro H. C.</t>
  </si>
  <si>
    <t xml:space="preserve">Difference-in-differences with a continuous treatment</t>
  </si>
  <si>
    <t xml:space="preserve">National Bureau of Economic Research</t>
  </si>
  <si>
    <t xml:space="preserve">n. 32117</t>
  </si>
  <si>
    <t xml:space="preserve">https://www.nber.org/papers/w32117</t>
  </si>
  <si>
    <t xml:space="preserve">Cap. 3 Método; Cap. 5 Agenda</t>
  </si>
  <si>
    <t xml:space="preserve">Diferenças em diferenças com tratamento contínuo; define o parâmetro.</t>
  </si>
  <si>
    <t xml:space="preserve">callaway2024.pdf</t>
  </si>
  <si>
    <t xml:space="preserve">Pré-print arXiv 2107.02637v8, dez. 2025</t>
  </si>
  <si>
    <t xml:space="preserve">Restrito no NBER; há versão aberta em pré-print</t>
  </si>
  <si>
    <t xml:space="preserve">dingel2020</t>
  </si>
  <si>
    <t xml:space="preserve">Dingel, Jonathan I.; Neiman, Brent</t>
  </si>
  <si>
    <t xml:space="preserve">How many jobs can be done at home?</t>
  </si>
  <si>
    <t xml:space="preserve">Journal of Public Economics</t>
  </si>
  <si>
    <t xml:space="preserve">v. 189, p. 104235</t>
  </si>
  <si>
    <t xml:space="preserve">10.1016/j.jpubeco.2020.104235</t>
  </si>
  <si>
    <t xml:space="preserve">https://doi.org/10.1016/j.jpubeco.2020.104235</t>
  </si>
  <si>
    <t xml:space="preserve">Cap. 3 Método</t>
  </si>
  <si>
    <t xml:space="preserve">Índice de teletrabalhabilidade, usado como controle interagido com o período.</t>
  </si>
  <si>
    <t xml:space="preserve">dingel2020.pdf</t>
  </si>
  <si>
    <t xml:space="preserve">NBER WP 26948; publicado no JPubE</t>
  </si>
  <si>
    <t xml:space="preserve">eloundou2024</t>
  </si>
  <si>
    <t xml:space="preserve">Eloundou, Tyna; Manning, Sam; Mishkin, Pamela; Rock, Daniel</t>
  </si>
  <si>
    <t xml:space="preserve">GPTs are GPTs</t>
  </si>
  <si>
    <t xml:space="preserve">labor market impact potential of LLMs</t>
  </si>
  <si>
    <t xml:space="preserve">Science</t>
  </si>
  <si>
    <t xml:space="preserve">v. 384, n. 6702, p. 1306-1308</t>
  </si>
  <si>
    <t xml:space="preserve">10.1126/science.adj0998</t>
  </si>
  <si>
    <t xml:space="preserve">https://doi.org/10.1126/science.adj0998</t>
  </si>
  <si>
    <t xml:space="preserve">Medida de exposição por tarefas; substituição prevista como robustez.</t>
  </si>
  <si>
    <t xml:space="preserve">eloundou2024.pdf</t>
  </si>
  <si>
    <t xml:space="preserve">Pré-print arXiv 2303.10130v5, 2023; publicado na Science em 2024</t>
  </si>
  <si>
    <t xml:space="preserve">Restrito na Science; há versão aberta em pré-print</t>
  </si>
  <si>
    <t xml:space="preserve">felten2021</t>
  </si>
  <si>
    <t xml:space="preserve">Felten, Edward W.; Raj, Manav; Seamans, Robert</t>
  </si>
  <si>
    <t xml:space="preserve">Occupational, industry, and geographic exposure to artificial intelligence</t>
  </si>
  <si>
    <t xml:space="preserve">a novel dataset and its potential uses</t>
  </si>
  <si>
    <t xml:space="preserve">Strategic Management Journal</t>
  </si>
  <si>
    <t xml:space="preserve">v. 42, n. 12, p. 2195-2217</t>
  </si>
  <si>
    <t xml:space="preserve">10.1002/smj.3286</t>
  </si>
  <si>
    <t xml:space="preserve">https://doi.org/10.1002/smj.3286</t>
  </si>
  <si>
    <t xml:space="preserve">Cap. 2 Referencial; Cap. 3 Método; Cap. 5 Agenda</t>
  </si>
  <si>
    <t xml:space="preserve">Fonte do AIOE, o tratamento principal do trabalho.</t>
  </si>
  <si>
    <t xml:space="preserve">falta baixar</t>
  </si>
  <si>
    <t xml:space="preserve">Restrito (SMJ); baixar por acesso institucional do IDP</t>
  </si>
  <si>
    <t xml:space="preserve">higano2023</t>
  </si>
  <si>
    <t xml:space="preserve">Higano, Leandro Tamio Marques; Cardoso, Leonardo Chaves Borges; Wolf, Rayan; Silva, Maria Micheliana da Costa</t>
  </si>
  <si>
    <t xml:space="preserve">Uma nota sobre mobilidade ocupacional e diferenças salariais no Brasil</t>
  </si>
  <si>
    <t xml:space="preserve">Revista Brasileira de Economia</t>
  </si>
  <si>
    <t xml:space="preserve">v. 77</t>
  </si>
  <si>
    <t xml:space="preserve">10.5935/0034-7140.20230003</t>
  </si>
  <si>
    <t xml:space="preserve">https://doi.org/10.5935/0034-7140.20230003</t>
  </si>
  <si>
    <t xml:space="preserve">Mobilidade ocupacional e rendimentos na PME; contrafactual de rotatividade.</t>
  </si>
  <si>
    <t xml:space="preserve">higano2023.pdf</t>
  </si>
  <si>
    <t xml:space="preserve">Versão publicada (RBE)</t>
  </si>
  <si>
    <t xml:space="preserve">Aberto (SciELO)</t>
  </si>
  <si>
    <t xml:space="preserve">humlum2025</t>
  </si>
  <si>
    <t xml:space="preserve">Humlum, Anders; Vestergaard, Emilie</t>
  </si>
  <si>
    <t xml:space="preserve">Still waters, rapid currents</t>
  </si>
  <si>
    <t xml:space="preserve">early labor market transformation under generative AI</t>
  </si>
  <si>
    <t xml:space="preserve">n. 33777</t>
  </si>
  <si>
    <t xml:space="preserve">https://www.nber.org/papers/w33777</t>
  </si>
  <si>
    <t xml:space="preserve">Efeitos nulos e precisos com registros administrativos; calibra a expectativa.</t>
  </si>
  <si>
    <t xml:space="preserve">humlum2025.pdf</t>
  </si>
  <si>
    <t xml:space="preserve">NBER WP 33777</t>
  </si>
  <si>
    <t xml:space="preserve">Restrito no NBER; há versão aberta na página dos autores</t>
  </si>
  <si>
    <t xml:space="preserve">massenkoff2026</t>
  </si>
  <si>
    <t xml:space="preserve">Massenkoff, Maxim; McCrory, Peter</t>
  </si>
  <si>
    <t xml:space="preserve">Labor market impacts of AI</t>
  </si>
  <si>
    <t xml:space="preserve">a new measure and early evidence</t>
  </si>
  <si>
    <t xml:space="preserve">Anthropic</t>
  </si>
  <si>
    <t xml:space="preserve">https://www.anthropic.com/research/labor-market-impacts</t>
  </si>
  <si>
    <t xml:space="preserve">Exposição observada e DiD sobre desemprego; inclusão em avaliação.</t>
  </si>
  <si>
    <t xml:space="preserve">massenkoff_mccrory_2026_labor_market_impacts_ai.pdf</t>
  </si>
  <si>
    <t xml:space="preserve">Versão publicada (Anthropic)</t>
  </si>
  <si>
    <t xml:space="preserve">Aberto (site da Anthropic)</t>
  </si>
  <si>
    <t xml:space="preserve">meghir2015</t>
  </si>
  <si>
    <t xml:space="preserve">Meghir, Costas; Narita, Renata; Robin, Jean-Marc</t>
  </si>
  <si>
    <t xml:space="preserve">Wages and informality in developing countries</t>
  </si>
  <si>
    <t xml:space="preserve">American Economic Review</t>
  </si>
  <si>
    <t xml:space="preserve">v. 105, n. 4, p. 1509-1546</t>
  </si>
  <si>
    <t xml:space="preserve">10.1257/aer.20121110</t>
  </si>
  <si>
    <t xml:space="preserve">https://doi.org/10.1257/aer.20121110</t>
  </si>
  <si>
    <t xml:space="preserve">Busca e emparelhamento; fronteira formal-informal atravessada com frequência.</t>
  </si>
  <si>
    <t xml:space="preserve">meghir2015.pdf</t>
  </si>
  <si>
    <t xml:space="preserve">NBER WP 18347; publicado na AER</t>
  </si>
  <si>
    <t xml:space="preserve">osorio2022</t>
  </si>
  <si>
    <t xml:space="preserve">Osório, Rafael Guerreiro</t>
  </si>
  <si>
    <t xml:space="preserve">Sobre a montagem e a identificação dos painéis da PNAD Contínua</t>
  </si>
  <si>
    <t xml:space="preserve">Mercado de Trabalho: conjuntura e análise</t>
  </si>
  <si>
    <t xml:space="preserve">n. 73</t>
  </si>
  <si>
    <t xml:space="preserve">http://repositorio.ipea.gov.br/handle/11058/11177</t>
  </si>
  <si>
    <t xml:space="preserve">Identificação longitudinal dos painéis da PNAD Contínua.</t>
  </si>
  <si>
    <t xml:space="preserve">osorio2022.pdf</t>
  </si>
  <si>
    <t xml:space="preserve">Versão publicada (Ipea)</t>
  </si>
  <si>
    <t xml:space="preserve">Aberto (repositório do Ipea)</t>
  </si>
  <si>
    <t xml:space="preserve">rambachan2023</t>
  </si>
  <si>
    <t xml:space="preserve">Rambachan, Ashesh; Roth, Jonathan</t>
  </si>
  <si>
    <t xml:space="preserve">A more credible approach to parallel trends</t>
  </si>
  <si>
    <t xml:space="preserve">The Review of Economic Studies</t>
  </si>
  <si>
    <t xml:space="preserve">v. 90, n. 5, p. 2555-2591</t>
  </si>
  <si>
    <t xml:space="preserve">10.1093/restud/rdad018</t>
  </si>
  <si>
    <t xml:space="preserve">https://doi.org/10.1093/restud/rdad018</t>
  </si>
  <si>
    <t xml:space="preserve">Cap. 5 Agenda</t>
  </si>
  <si>
    <t xml:space="preserve">Sensibilidade a desvios das tendências paralelas.</t>
  </si>
  <si>
    <t xml:space="preserve">rambachan2023.pdf</t>
  </si>
  <si>
    <t xml:space="preserve">Versão publicada (ReStud)</t>
  </si>
  <si>
    <t xml:space="preserve">ulyssea2020</t>
  </si>
  <si>
    <t xml:space="preserve">Ulyssea, Gabriel</t>
  </si>
  <si>
    <t xml:space="preserve">Informality</t>
  </si>
  <si>
    <t xml:space="preserve">causes and consequences for development</t>
  </si>
  <si>
    <t xml:space="preserve">Annual Review of Economics</t>
  </si>
  <si>
    <t xml:space="preserve">v. 12, p. 525-546</t>
  </si>
  <si>
    <t xml:space="preserve">10.1146/annurev-economics-082119-121914</t>
  </si>
  <si>
    <t xml:space="preserve">https://doi.org/10.1146/annurev-economics-082119-121914</t>
  </si>
  <si>
    <t xml:space="preserve">Informalidade como fenômeno heterogêneo; justifica o desfecho de formalidade.</t>
  </si>
  <si>
    <t xml:space="preserve">ulyssea2020.pdf</t>
  </si>
  <si>
    <t xml:space="preserve">Versão aceita (repositório da UCL)</t>
  </si>
  <si>
    <t xml:space="preserve">wroblevski2024</t>
  </si>
  <si>
    <t xml:space="preserve">Wroblevski, Bruno; Carvalho, Terciane Sabadini; Souza, Kênia Barreiro de</t>
  </si>
  <si>
    <t xml:space="preserve">Dinâmica de transição no mercado de trabalho informal brasileiro</t>
  </si>
  <si>
    <t xml:space="preserve">uma análise para categorias ocupacionais no período 2016-2023</t>
  </si>
  <si>
    <t xml:space="preserve">Trabalho em anais</t>
  </si>
  <si>
    <t xml:space="preserve">ANPEC</t>
  </si>
  <si>
    <t xml:space="preserve">https://www.anpec.org.br/encontro/2024/submissao/files_I/i13-e6eccc65914beb667e82f42c9f03ba6b.pdf</t>
  </si>
  <si>
    <t xml:space="preserve">Matrizes de transição com a PNAD Contínua; mobilidade na informalidade.</t>
  </si>
  <si>
    <t xml:space="preserve">wroblevski2024.pdf</t>
  </si>
  <si>
    <t xml:space="preserve">Versão publicada (anais da ANPEC)</t>
  </si>
  <si>
    <t xml:space="preserve">Aberto (anais da ANPEC)</t>
  </si>
  <si>
    <t xml:space="preserve">basedosdados_pnadc</t>
  </si>
  <si>
    <t xml:space="preserve">BASE DOS DADOS</t>
  </si>
  <si>
    <t xml:space="preserve">IBGE --- Pesquisa Nacional por Amostra de Domicílios Contínua (PNAD Contínua)</t>
  </si>
  <si>
    <t xml:space="preserve">microdados</t>
  </si>
  <si>
    <t xml:space="preserve">Recurso eletrônico</t>
  </si>
  <si>
    <t xml:space="preserve">https://basedosdados.org/dataset/br-ibge-pnadc</t>
  </si>
  <si>
    <t xml:space="preserve">Fonte dos microdados da PNAD Contínua usados na estimação.</t>
  </si>
  <si>
    <t xml:space="preserve">não se aplica</t>
  </si>
  <si>
    <t xml:space="preserve">Aberto (site, sem PDF)</t>
  </si>
  <si>
    <t xml:space="preserve">Total de obras</t>
  </si>
  <si>
    <t xml:space="preserve">Total de citações no texto</t>
  </si>
  <si>
    <t xml:space="preserve">PDFs já na pasta</t>
  </si>
  <si>
    <t xml:space="preserve">Gerado por scripts/bibliografia.py a partir de dissertacao/referencias.bib e das chaves de citação nos arquivos .tex. As colunas Papel na dissertação e Acesso são anotações mantidas no próprio script.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</si>
</sst>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6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28"/>
    <col collapsed="false" customWidth="true" hidden="false" outlineLevel="0" max="10" min="10" style="0" width="42"/>
    <col collapsed="false" customWidth="true" hidden="false" outlineLevel="0" max="11" min="11" style="0" width="9"/>
    <col collapsed="false" customWidth="true" hidden="false" outlineLevel="0" max="12" min="12" style="0" width="34"/>
    <col collapsed="false" customWidth="true" hidden="false" outlineLevel="0" max="13" min="13" style="0" width="52"/>
    <col collapsed="false" customWidth="true" hidden="false" outlineLevel="0" max="14" min="14" style="0" width="24"/>
    <col collapsed="false" customWidth="true" hidden="false" outlineLevel="0" max="15" min="15" style="0" width="38"/>
    <col collapsed="false" customWidth="true" hidden="false" outlineLevel="0" max="16" min="16" style="0" width="3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4.05" hidden="false" customHeight="false" outlineLevel="0" collapsed="false">
      <c r="A2" s="2" t="s">
        <v>16</v>
      </c>
      <c r="B2" s="2" t="s">
        <v>17</v>
      </c>
      <c r="C2" s="2" t="n">
        <v>2019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n">
        <v>1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 customFormat="false" ht="24.05" hidden="false" customHeight="false" outlineLevel="0" collapsed="false">
      <c r="A3" s="2" t="s">
        <v>30</v>
      </c>
      <c r="B3" s="2" t="s">
        <v>17</v>
      </c>
      <c r="C3" s="2" t="n">
        <v>2020</v>
      </c>
      <c r="D3" s="2" t="s">
        <v>31</v>
      </c>
      <c r="E3" s="2" t="s">
        <v>32</v>
      </c>
      <c r="F3" s="2" t="s">
        <v>20</v>
      </c>
      <c r="G3" s="2" t="s">
        <v>33</v>
      </c>
      <c r="H3" s="2" t="s">
        <v>34</v>
      </c>
      <c r="I3" s="2" t="s">
        <v>35</v>
      </c>
      <c r="J3" s="2" t="s">
        <v>36</v>
      </c>
      <c r="K3" s="2" t="n">
        <v>5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</row>
    <row r="4" customFormat="false" ht="35.5" hidden="false" customHeight="false" outlineLevel="0" collapsed="false">
      <c r="A4" s="2" t="s">
        <v>42</v>
      </c>
      <c r="B4" s="2" t="s">
        <v>43</v>
      </c>
      <c r="C4" s="2" t="n">
        <v>2022</v>
      </c>
      <c r="D4" s="2" t="s">
        <v>44</v>
      </c>
      <c r="E4" s="2"/>
      <c r="F4" s="2" t="s">
        <v>45</v>
      </c>
      <c r="G4" s="2" t="s">
        <v>46</v>
      </c>
      <c r="H4" s="2" t="s">
        <v>47</v>
      </c>
      <c r="I4" s="2"/>
      <c r="J4" s="2" t="s">
        <v>48</v>
      </c>
      <c r="K4" s="2" t="n">
        <v>2</v>
      </c>
      <c r="L4" s="2" t="s">
        <v>49</v>
      </c>
      <c r="M4" s="2" t="s">
        <v>50</v>
      </c>
      <c r="N4" s="2" t="s">
        <v>51</v>
      </c>
      <c r="O4" s="2" t="s">
        <v>52</v>
      </c>
      <c r="P4" s="2" t="s">
        <v>53</v>
      </c>
    </row>
    <row r="5" customFormat="false" ht="24.05" hidden="false" customHeight="false" outlineLevel="0" collapsed="false">
      <c r="A5" s="2" t="s">
        <v>54</v>
      </c>
      <c r="B5" s="2" t="s">
        <v>55</v>
      </c>
      <c r="C5" s="2" t="n">
        <v>2025</v>
      </c>
      <c r="D5" s="2" t="s">
        <v>56</v>
      </c>
      <c r="E5" s="2"/>
      <c r="F5" s="2" t="s">
        <v>20</v>
      </c>
      <c r="G5" s="2" t="s">
        <v>57</v>
      </c>
      <c r="H5" s="2" t="s">
        <v>58</v>
      </c>
      <c r="I5" s="2" t="s">
        <v>59</v>
      </c>
      <c r="J5" s="2" t="s">
        <v>60</v>
      </c>
      <c r="K5" s="2" t="n">
        <v>5</v>
      </c>
      <c r="L5" s="2" t="s">
        <v>37</v>
      </c>
      <c r="M5" s="2" t="s">
        <v>61</v>
      </c>
      <c r="N5" s="2" t="s">
        <v>62</v>
      </c>
      <c r="O5" s="2" t="s">
        <v>63</v>
      </c>
      <c r="P5" s="2" t="s">
        <v>64</v>
      </c>
    </row>
    <row r="6" customFormat="false" ht="24.05" hidden="false" customHeight="false" outlineLevel="0" collapsed="false">
      <c r="A6" s="2" t="s">
        <v>65</v>
      </c>
      <c r="B6" s="2" t="s">
        <v>66</v>
      </c>
      <c r="C6" s="2" t="n">
        <v>2024</v>
      </c>
      <c r="D6" s="2" t="s">
        <v>67</v>
      </c>
      <c r="E6" s="2"/>
      <c r="F6" s="2" t="s">
        <v>45</v>
      </c>
      <c r="G6" s="2" t="s">
        <v>68</v>
      </c>
      <c r="H6" s="2" t="s">
        <v>69</v>
      </c>
      <c r="I6" s="2"/>
      <c r="J6" s="2" t="s">
        <v>70</v>
      </c>
      <c r="K6" s="2" t="n">
        <v>2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</row>
    <row r="7" customFormat="false" ht="24.05" hidden="false" customHeight="false" outlineLevel="0" collapsed="false">
      <c r="A7" s="2" t="s">
        <v>76</v>
      </c>
      <c r="B7" s="2" t="s">
        <v>77</v>
      </c>
      <c r="C7" s="2" t="n">
        <v>2020</v>
      </c>
      <c r="D7" s="2" t="s">
        <v>78</v>
      </c>
      <c r="E7" s="2"/>
      <c r="F7" s="2" t="s">
        <v>20</v>
      </c>
      <c r="G7" s="2" t="s">
        <v>79</v>
      </c>
      <c r="H7" s="2" t="s">
        <v>80</v>
      </c>
      <c r="I7" s="2" t="s">
        <v>81</v>
      </c>
      <c r="J7" s="2" t="s">
        <v>82</v>
      </c>
      <c r="K7" s="2" t="n">
        <v>1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41</v>
      </c>
    </row>
    <row r="8" customFormat="false" ht="24.05" hidden="false" customHeight="false" outlineLevel="0" collapsed="false">
      <c r="A8" s="2" t="s">
        <v>87</v>
      </c>
      <c r="B8" s="2" t="s">
        <v>88</v>
      </c>
      <c r="C8" s="2" t="n">
        <v>2024</v>
      </c>
      <c r="D8" s="2" t="s">
        <v>89</v>
      </c>
      <c r="E8" s="2" t="s">
        <v>90</v>
      </c>
      <c r="F8" s="2" t="s">
        <v>20</v>
      </c>
      <c r="G8" s="2" t="s">
        <v>91</v>
      </c>
      <c r="H8" s="2" t="s">
        <v>92</v>
      </c>
      <c r="I8" s="2" t="s">
        <v>93</v>
      </c>
      <c r="J8" s="2" t="s">
        <v>94</v>
      </c>
      <c r="K8" s="2" t="n">
        <v>7</v>
      </c>
      <c r="L8" s="2" t="s">
        <v>37</v>
      </c>
      <c r="M8" s="2" t="s">
        <v>95</v>
      </c>
      <c r="N8" s="2" t="s">
        <v>96</v>
      </c>
      <c r="O8" s="2" t="s">
        <v>97</v>
      </c>
      <c r="P8" s="2" t="s">
        <v>98</v>
      </c>
    </row>
    <row r="9" customFormat="false" ht="24.05" hidden="false" customHeight="false" outlineLevel="0" collapsed="false">
      <c r="A9" s="2" t="s">
        <v>99</v>
      </c>
      <c r="B9" s="2" t="s">
        <v>100</v>
      </c>
      <c r="C9" s="2" t="n">
        <v>2021</v>
      </c>
      <c r="D9" s="2" t="s">
        <v>101</v>
      </c>
      <c r="E9" s="2" t="s">
        <v>102</v>
      </c>
      <c r="F9" s="2" t="s">
        <v>20</v>
      </c>
      <c r="G9" s="2" t="s">
        <v>103</v>
      </c>
      <c r="H9" s="2" t="s">
        <v>104</v>
      </c>
      <c r="I9" s="2" t="s">
        <v>105</v>
      </c>
      <c r="J9" s="2" t="s">
        <v>106</v>
      </c>
      <c r="K9" s="2" t="n">
        <v>6</v>
      </c>
      <c r="L9" s="2" t="s">
        <v>107</v>
      </c>
      <c r="M9" s="2" t="s">
        <v>108</v>
      </c>
      <c r="N9" s="2" t="s">
        <v>109</v>
      </c>
      <c r="O9" s="2"/>
      <c r="P9" s="2" t="s">
        <v>110</v>
      </c>
    </row>
    <row r="10" customFormat="false" ht="35.5" hidden="false" customHeight="false" outlineLevel="0" collapsed="false">
      <c r="A10" s="2" t="s">
        <v>111</v>
      </c>
      <c r="B10" s="2" t="s">
        <v>112</v>
      </c>
      <c r="C10" s="2" t="n">
        <v>2023</v>
      </c>
      <c r="D10" s="2" t="s">
        <v>113</v>
      </c>
      <c r="E10" s="2"/>
      <c r="F10" s="2" t="s">
        <v>20</v>
      </c>
      <c r="G10" s="2" t="s">
        <v>114</v>
      </c>
      <c r="H10" s="2" t="s">
        <v>115</v>
      </c>
      <c r="I10" s="2" t="s">
        <v>116</v>
      </c>
      <c r="J10" s="2" t="s">
        <v>117</v>
      </c>
      <c r="K10" s="2" t="n">
        <v>1</v>
      </c>
      <c r="L10" s="2" t="s">
        <v>25</v>
      </c>
      <c r="M10" s="2" t="s">
        <v>118</v>
      </c>
      <c r="N10" s="2" t="s">
        <v>119</v>
      </c>
      <c r="O10" s="2" t="s">
        <v>120</v>
      </c>
      <c r="P10" s="2" t="s">
        <v>121</v>
      </c>
    </row>
    <row r="11" customFormat="false" ht="24.05" hidden="false" customHeight="false" outlineLevel="0" collapsed="false">
      <c r="A11" s="2" t="s">
        <v>122</v>
      </c>
      <c r="B11" s="2" t="s">
        <v>123</v>
      </c>
      <c r="C11" s="2" t="n">
        <v>2025</v>
      </c>
      <c r="D11" s="2" t="s">
        <v>124</v>
      </c>
      <c r="E11" s="2" t="s">
        <v>125</v>
      </c>
      <c r="F11" s="2" t="s">
        <v>45</v>
      </c>
      <c r="G11" s="2" t="s">
        <v>68</v>
      </c>
      <c r="H11" s="2" t="s">
        <v>126</v>
      </c>
      <c r="I11" s="2"/>
      <c r="J11" s="2" t="s">
        <v>127</v>
      </c>
      <c r="K11" s="2" t="n">
        <v>4</v>
      </c>
      <c r="L11" s="2" t="s">
        <v>37</v>
      </c>
      <c r="M11" s="2" t="s">
        <v>128</v>
      </c>
      <c r="N11" s="2" t="s">
        <v>129</v>
      </c>
      <c r="O11" s="2" t="s">
        <v>130</v>
      </c>
      <c r="P11" s="2" t="s">
        <v>131</v>
      </c>
    </row>
    <row r="12" customFormat="false" ht="24.05" hidden="false" customHeight="false" outlineLevel="0" collapsed="false">
      <c r="A12" s="2" t="s">
        <v>132</v>
      </c>
      <c r="B12" s="2" t="s">
        <v>133</v>
      </c>
      <c r="C12" s="2" t="n">
        <v>2026</v>
      </c>
      <c r="D12" s="2" t="s">
        <v>134</v>
      </c>
      <c r="E12" s="2" t="s">
        <v>135</v>
      </c>
      <c r="F12" s="2" t="s">
        <v>45</v>
      </c>
      <c r="G12" s="2" t="s">
        <v>136</v>
      </c>
      <c r="H12" s="2"/>
      <c r="I12" s="2"/>
      <c r="J12" s="2" t="s">
        <v>137</v>
      </c>
      <c r="K12" s="2" t="n">
        <v>1</v>
      </c>
      <c r="L12" s="2" t="s">
        <v>25</v>
      </c>
      <c r="M12" s="2" t="s">
        <v>138</v>
      </c>
      <c r="N12" s="2" t="s">
        <v>139</v>
      </c>
      <c r="O12" s="2" t="s">
        <v>140</v>
      </c>
      <c r="P12" s="2" t="s">
        <v>141</v>
      </c>
    </row>
    <row r="13" customFormat="false" ht="24.05" hidden="false" customHeight="false" outlineLevel="0" collapsed="false">
      <c r="A13" s="2" t="s">
        <v>142</v>
      </c>
      <c r="B13" s="2" t="s">
        <v>143</v>
      </c>
      <c r="C13" s="2" t="n">
        <v>2015</v>
      </c>
      <c r="D13" s="2" t="s">
        <v>144</v>
      </c>
      <c r="E13" s="2"/>
      <c r="F13" s="2" t="s">
        <v>20</v>
      </c>
      <c r="G13" s="2" t="s">
        <v>145</v>
      </c>
      <c r="H13" s="2" t="s">
        <v>146</v>
      </c>
      <c r="I13" s="2" t="s">
        <v>147</v>
      </c>
      <c r="J13" s="2" t="s">
        <v>148</v>
      </c>
      <c r="K13" s="2" t="n">
        <v>1</v>
      </c>
      <c r="L13" s="2" t="s">
        <v>25</v>
      </c>
      <c r="M13" s="2" t="s">
        <v>149</v>
      </c>
      <c r="N13" s="2" t="s">
        <v>150</v>
      </c>
      <c r="O13" s="2" t="s">
        <v>151</v>
      </c>
      <c r="P13" s="2" t="s">
        <v>41</v>
      </c>
    </row>
    <row r="14" customFormat="false" ht="24.05" hidden="false" customHeight="false" outlineLevel="0" collapsed="false">
      <c r="A14" s="2" t="s">
        <v>152</v>
      </c>
      <c r="B14" s="2" t="s">
        <v>153</v>
      </c>
      <c r="C14" s="2" t="n">
        <v>2022</v>
      </c>
      <c r="D14" s="2" t="s">
        <v>154</v>
      </c>
      <c r="E14" s="2"/>
      <c r="F14" s="2" t="s">
        <v>20</v>
      </c>
      <c r="G14" s="2" t="s">
        <v>155</v>
      </c>
      <c r="H14" s="2" t="s">
        <v>156</v>
      </c>
      <c r="I14" s="2"/>
      <c r="J14" s="2" t="s">
        <v>157</v>
      </c>
      <c r="K14" s="2" t="n">
        <v>1</v>
      </c>
      <c r="L14" s="2" t="s">
        <v>25</v>
      </c>
      <c r="M14" s="2" t="s">
        <v>158</v>
      </c>
      <c r="N14" s="2" t="s">
        <v>159</v>
      </c>
      <c r="O14" s="2" t="s">
        <v>160</v>
      </c>
      <c r="P14" s="2" t="s">
        <v>161</v>
      </c>
    </row>
    <row r="15" customFormat="false" ht="24.05" hidden="false" customHeight="false" outlineLevel="0" collapsed="false">
      <c r="A15" s="2" t="s">
        <v>162</v>
      </c>
      <c r="B15" s="2" t="s">
        <v>163</v>
      </c>
      <c r="C15" s="2" t="n">
        <v>2023</v>
      </c>
      <c r="D15" s="2" t="s">
        <v>164</v>
      </c>
      <c r="E15" s="2"/>
      <c r="F15" s="2" t="s">
        <v>20</v>
      </c>
      <c r="G15" s="2" t="s">
        <v>165</v>
      </c>
      <c r="H15" s="2" t="s">
        <v>166</v>
      </c>
      <c r="I15" s="2" t="s">
        <v>167</v>
      </c>
      <c r="J15" s="2" t="s">
        <v>168</v>
      </c>
      <c r="K15" s="2" t="n">
        <v>1</v>
      </c>
      <c r="L15" s="2" t="s">
        <v>169</v>
      </c>
      <c r="M15" s="2" t="s">
        <v>170</v>
      </c>
      <c r="N15" s="2" t="s">
        <v>171</v>
      </c>
      <c r="O15" s="2" t="s">
        <v>172</v>
      </c>
      <c r="P15" s="2" t="s">
        <v>41</v>
      </c>
    </row>
    <row r="16" customFormat="false" ht="24.05" hidden="false" customHeight="false" outlineLevel="0" collapsed="false">
      <c r="A16" s="2" t="s">
        <v>173</v>
      </c>
      <c r="B16" s="2" t="s">
        <v>174</v>
      </c>
      <c r="C16" s="2" t="n">
        <v>2020</v>
      </c>
      <c r="D16" s="2" t="s">
        <v>175</v>
      </c>
      <c r="E16" s="2" t="s">
        <v>176</v>
      </c>
      <c r="F16" s="2" t="s">
        <v>20</v>
      </c>
      <c r="G16" s="2" t="s">
        <v>177</v>
      </c>
      <c r="H16" s="2" t="s">
        <v>178</v>
      </c>
      <c r="I16" s="2" t="s">
        <v>179</v>
      </c>
      <c r="J16" s="2" t="s">
        <v>180</v>
      </c>
      <c r="K16" s="2" t="n">
        <v>1</v>
      </c>
      <c r="L16" s="2" t="s">
        <v>25</v>
      </c>
      <c r="M16" s="2" t="s">
        <v>181</v>
      </c>
      <c r="N16" s="2" t="s">
        <v>182</v>
      </c>
      <c r="O16" s="2" t="s">
        <v>183</v>
      </c>
      <c r="P16" s="2" t="s">
        <v>41</v>
      </c>
    </row>
    <row r="17" customFormat="false" ht="35.5" hidden="false" customHeight="false" outlineLevel="0" collapsed="false">
      <c r="A17" s="2" t="s">
        <v>184</v>
      </c>
      <c r="B17" s="2" t="s">
        <v>185</v>
      </c>
      <c r="C17" s="2" t="n">
        <v>2024</v>
      </c>
      <c r="D17" s="2" t="s">
        <v>186</v>
      </c>
      <c r="E17" s="2" t="s">
        <v>187</v>
      </c>
      <c r="F17" s="2" t="s">
        <v>188</v>
      </c>
      <c r="G17" s="2" t="s">
        <v>189</v>
      </c>
      <c r="H17" s="2"/>
      <c r="I17" s="2"/>
      <c r="J17" s="2" t="s">
        <v>190</v>
      </c>
      <c r="K17" s="2" t="n">
        <v>1</v>
      </c>
      <c r="L17" s="2" t="s">
        <v>25</v>
      </c>
      <c r="M17" s="2" t="s">
        <v>191</v>
      </c>
      <c r="N17" s="2" t="s">
        <v>192</v>
      </c>
      <c r="O17" s="2" t="s">
        <v>193</v>
      </c>
      <c r="P17" s="2" t="s">
        <v>194</v>
      </c>
    </row>
    <row r="18" customFormat="false" ht="24.05" hidden="false" customHeight="false" outlineLevel="0" collapsed="false">
      <c r="A18" s="2" t="s">
        <v>195</v>
      </c>
      <c r="B18" s="2" t="s">
        <v>196</v>
      </c>
      <c r="C18" s="2" t="n">
        <v>2026</v>
      </c>
      <c r="D18" s="2" t="s">
        <v>197</v>
      </c>
      <c r="E18" s="2" t="s">
        <v>198</v>
      </c>
      <c r="F18" s="2" t="s">
        <v>199</v>
      </c>
      <c r="G18" s="2"/>
      <c r="H18" s="2"/>
      <c r="I18" s="2"/>
      <c r="J18" s="2" t="s">
        <v>200</v>
      </c>
      <c r="K18" s="2" t="n">
        <v>1</v>
      </c>
      <c r="L18" s="2" t="s">
        <v>83</v>
      </c>
      <c r="M18" s="2" t="s">
        <v>201</v>
      </c>
      <c r="N18" s="2" t="s">
        <v>202</v>
      </c>
      <c r="O18" s="2"/>
      <c r="P18" s="2" t="s">
        <v>203</v>
      </c>
    </row>
    <row r="20" customFormat="false" ht="15" hidden="false" customHeight="false" outlineLevel="0" collapsed="false">
      <c r="A20" s="3" t="s">
        <v>204</v>
      </c>
      <c r="B20" s="4" t="n">
        <f aca="false">COUNTA(A2:A18)</f>
        <v>17</v>
      </c>
    </row>
    <row r="21" customFormat="false" ht="15" hidden="false" customHeight="false" outlineLevel="0" collapsed="false">
      <c r="A21" s="3" t="s">
        <v>205</v>
      </c>
      <c r="B21" s="4" t="n">
        <f aca="false">SUM(K2:K18)</f>
        <v>41</v>
      </c>
    </row>
    <row r="22" customFormat="false" ht="15" hidden="false" customHeight="false" outlineLevel="0" collapsed="false">
      <c r="A22" s="3" t="s">
        <v>206</v>
      </c>
      <c r="B22" s="4" t="n">
        <f aca="false">COUNTIF(N2:N18,"&lt;&gt;falta baixar")</f>
        <v>16</v>
      </c>
    </row>
    <row r="25" customFormat="false" ht="15" hidden="false" customHeight="false" outlineLevel="0" collapsed="false">
      <c r="A25" s="5" t="s">
        <v>207</v>
      </c>
    </row>
  </sheetData>
  <autoFilter ref="A1:P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2026-09-20T17:50:43Z</dcterms:created>
  <dc:creator>openpyxl</dc:creator>
  <dc:description/>
  <dc:language>pt-BR</dc:language>
  <cp:lastModifiedBy/>
  <dcterms:modified xsi:type="dcterms:W3CDTF">2026-09-20T17:50:43Z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